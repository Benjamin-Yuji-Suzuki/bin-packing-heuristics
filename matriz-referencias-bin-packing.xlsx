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ções" sheetId="1" state="visible" r:id="rId1"/>
    <sheet xmlns:r="http://schemas.openxmlformats.org/officeDocument/2006/relationships" name="Matriz Analítica" sheetId="2" state="visible" r:id="rId2"/>
    <sheet xmlns:r="http://schemas.openxmlformats.org/officeDocument/2006/relationships" name="Cruzamento" sheetId="3" state="visible" r:id="rId3"/>
    <sheet xmlns:r="http://schemas.openxmlformats.org/officeDocument/2006/relationships" name="Verific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1F3864"/>
      <sz val="14"/>
    </font>
    <font>
      <name val="Arial"/>
      <b val="1"/>
      <color rgb="FFFFFFFF"/>
      <sz val="10"/>
    </font>
    <font>
      <name val="Arial"/>
      <i val="1"/>
      <color theme="1"/>
      <sz val="9"/>
    </font>
    <font>
      <name val="Arial"/>
      <i val="1"/>
      <color rgb="FF595959"/>
      <sz val="9"/>
    </font>
    <font>
      <name val="Arial"/>
      <b val="1"/>
      <color theme="1"/>
      <sz val="10"/>
    </font>
    <font>
      <name val="Arial"/>
      <b val="1"/>
      <color rgb="FF1F3864"/>
      <sz val="11"/>
    </font>
    <font>
      <name val="Arial"/>
      <color theme="1"/>
      <sz val="10"/>
    </font>
    <font>
      <name val="Arial"/>
      <color theme="1"/>
      <sz val="9"/>
    </font>
    <font>
      <name val="Arial"/>
      <b val="1"/>
      <color rgb="FF0000FF"/>
      <sz val="10"/>
    </font>
    <font/>
  </fonts>
  <fills count="8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</border>
    <border>
      <right/>
    </border>
    <border>
      <left style="thin">
        <color rgb="FFBFBFBF"/>
      </left>
      <bottom/>
    </border>
    <border>
      <bottom/>
    </border>
    <border>
      <right/>
      <bottom/>
    </border>
    <border>
      <left style="thin">
        <color rgb="FFBFBFBF"/>
      </left>
      <right/>
      <top style="thin">
        <color rgb="FFBFBFBF"/>
      </top>
      <bottom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0" fontId="7" fillId="5" borderId="2" applyAlignment="1" pivotButton="0" quotePrefix="0" xfId="0">
      <alignment vertical="top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5" borderId="10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2" min="1" max="1"/>
    <col width="26" customWidth="1" style="32" min="2" max="2"/>
    <col width="95" customWidth="1" style="32" min="3" max="3"/>
    <col width="8.710000000000001" customWidth="1" style="32" min="4" max="26"/>
  </cols>
  <sheetData>
    <row r="2">
      <c r="B2" s="1" t="inlineStr">
        <is>
          <t>MATRIZ DE REFERÊNCIAS</t>
        </is>
      </c>
    </row>
    <row r="3">
      <c r="B3" s="35" t="n"/>
    </row>
    <row r="5">
      <c r="B5" s="8" t="inlineStr">
        <is>
          <t>Como usar</t>
        </is>
      </c>
    </row>
    <row r="6" ht="30" customHeight="1" s="32">
      <c r="B6" s="10" t="inlineStr">
        <is>
          <t>Aba «Matriz Analítica»</t>
        </is>
      </c>
      <c r="C6" s="15" t="inlineStr">
        <is>
          <t>Uma linha por referência lida. A linha 2 é um EXEMPLO preenchido — não apague, use de modelo. Preencha a partir da linha 3.</t>
        </is>
      </c>
    </row>
    <row r="7" ht="30" customHeight="1" s="32">
      <c r="B7" s="10" t="inlineStr">
        <is>
          <t>Aba «Cruzamento»</t>
        </is>
      </c>
      <c r="C7" s="15" t="inlineStr">
        <is>
          <t>Renomeie os cabeçalhos «Conceito 1…8» com os conceitos-chave do seu tema e marque X onde a referência cobre o conceito. A coluna de referência é preenchida automaticamente.</t>
        </is>
      </c>
    </row>
    <row r="8" ht="30" customHeight="1" s="32">
      <c r="B8" s="10" t="inlineStr">
        <is>
          <t>Aba «Verificação»</t>
        </is>
      </c>
      <c r="C8" s="15" t="inlineStr">
        <is>
          <t>Confere sozinha se o acervo atende aos mínimos exigidos. Confira antes de entregar.</t>
        </is>
      </c>
    </row>
    <row r="9" ht="30" customHeight="1" s="32">
      <c r="B9" s="10" t="inlineStr">
        <is>
          <t>Entrega</t>
        </is>
      </c>
      <c r="C9" s="15" t="inlineStr">
        <is>
          <t>Este arquivo em .xlsx MAIS a matriz exportada em PDF como anexo do artigo parcial.</t>
        </is>
      </c>
    </row>
    <row r="11">
      <c r="B11" s="8" t="inlineStr">
        <is>
          <t>Requisitos mínimos do acervo</t>
        </is>
      </c>
    </row>
    <row r="12">
      <c r="B12" s="10" t="inlineStr">
        <is>
          <t>•</t>
        </is>
      </c>
      <c r="C12" s="15" t="inlineStr">
        <is>
          <t>10 referências no total.</t>
        </is>
      </c>
    </row>
    <row r="13">
      <c r="B13" s="10" t="inlineStr">
        <is>
          <t>•</t>
        </is>
      </c>
      <c r="C13" s="15" t="inlineStr">
        <is>
          <t>Pelo menos 5 artigos científicos revisados por pares (periódico ou conferência).</t>
        </is>
      </c>
    </row>
    <row r="14">
      <c r="B14" s="10" t="inlineStr">
        <is>
          <t>•</t>
        </is>
      </c>
      <c r="C14" s="15" t="inlineStr">
        <is>
          <t>Pelo menos 2 publicações dos últimos 5 anos.</t>
        </is>
      </c>
    </row>
    <row r="15">
      <c r="B15" s="10" t="inlineStr">
        <is>
          <t>•</t>
        </is>
      </c>
      <c r="C15" s="15" t="inlineStr">
        <is>
          <t>Pelo menos 1 artigo seminal / clássico do eixo escolhido.</t>
        </is>
      </c>
    </row>
    <row r="16">
      <c r="B16" s="10" t="inlineStr">
        <is>
          <t>•</t>
        </is>
      </c>
      <c r="C16" s="15" t="inlineStr">
        <is>
          <t>Livros-texto (CLRS, Kleinberg &amp; Tardos, Sedgewick, Vazirani, Garey &amp; Johnson etc.): no máximo 3 das 10.</t>
        </is>
      </c>
    </row>
    <row r="17">
      <c r="B17" s="10" t="inlineStr">
        <is>
          <t>•</t>
        </is>
      </c>
      <c r="C17" s="15" t="inlineStr">
        <is>
          <t>Blogs, vídeos, fóruns e saídas de IA generativa não entram na cota (podem ser citados fora dela).</t>
        </is>
      </c>
    </row>
    <row r="18">
      <c r="B18" s="10" t="inlineStr">
        <is>
          <t>•</t>
        </is>
      </c>
      <c r="C18" s="15" t="inlineStr">
        <is>
          <t>Toda referência listada precisa ter sido efetivamente lida e ser localizável. Referência fabricada anula o entregável.</t>
        </is>
      </c>
    </row>
    <row r="20">
      <c r="B20" s="8" t="inlineStr">
        <is>
          <t>Onde buscar</t>
        </is>
      </c>
    </row>
    <row r="21" ht="15.75" customHeight="1" s="32">
      <c r="C21" s="15" t="inlineStr">
        <is>
          <t>Portal de Periódicos CAPES · ACM Digital Library · IEEE Xplore · SpringerLink · DBLP · Google Scholar · arXiv (cs.DS) · Biblioteca Digital da SBC (SOL)</t>
        </is>
      </c>
    </row>
    <row r="22" ht="15.75" customHeight="1" s="32"/>
    <row r="23" ht="15.75" customHeight="1" s="32">
      <c r="B23" s="8" t="inlineStr">
        <is>
          <t>Legenda de cores</t>
        </is>
      </c>
    </row>
    <row r="24" ht="15.75" customHeight="1" s="32">
      <c r="B24" s="17" t="n"/>
      <c r="C24" s="15" t="inlineStr">
        <is>
          <t>Cabeçalho de coluna — não alterar.</t>
        </is>
      </c>
    </row>
    <row r="25" ht="15.75" customHeight="1" s="32">
      <c r="B25" s="18" t="n"/>
      <c r="C25" s="15" t="inlineStr">
        <is>
          <t>Linha de exemplo — não alterar.</t>
        </is>
      </c>
    </row>
    <row r="26" ht="15.75" customHeight="1" s="32">
      <c r="B26" s="19" t="n"/>
      <c r="C26" s="15" t="inlineStr">
        <is>
          <t>Célula branca — é o que vocês preenchem.</t>
        </is>
      </c>
    </row>
    <row r="27" ht="15.75" customHeight="1" s="32">
      <c r="B27" s="20" t="n"/>
      <c r="C27" s="15" t="inlineStr">
        <is>
          <t>Célula com fórmula — preenchimento automático, não digitar.</t>
        </is>
      </c>
    </row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7" customWidth="1" style="32" min="1" max="1"/>
    <col width="52" customWidth="1" style="32" min="2" max="2"/>
    <col width="20" customWidth="1" style="32" min="3" max="3"/>
    <col width="26" customWidth="1" style="32" min="4" max="4"/>
    <col width="7" customWidth="1" style="32" min="5" max="5"/>
    <col width="20" customWidth="1" style="32" min="6" max="6"/>
    <col width="14" customWidth="1" style="32" min="7" max="7"/>
    <col width="34" customWidth="1" style="32" min="8" max="8"/>
    <col width="22" customWidth="1" style="32" min="9" max="9"/>
    <col width="30" customWidth="1" style="32" min="10" max="10"/>
    <col width="20" customWidth="1" style="32" min="11" max="11"/>
    <col width="34" customWidth="1" style="32" min="12" max="12"/>
    <col width="30" customWidth="1" style="32" min="13" max="13"/>
    <col width="28" customWidth="1" style="32" min="14" max="14"/>
    <col width="15" customWidth="1" style="32" min="15" max="15"/>
    <col width="8.710000000000001" customWidth="1" style="32" min="16" max="26"/>
  </cols>
  <sheetData>
    <row r="1" ht="42" customHeight="1" s="32">
      <c r="A1" s="3" t="inlineStr">
        <is>
          <t>ID</t>
        </is>
      </c>
      <c r="B1" s="3" t="inlineStr">
        <is>
          <t>Referência completa (ABNT)</t>
        </is>
      </c>
      <c r="C1" s="3" t="inlineStr">
        <is>
          <t>Tipo</t>
        </is>
      </c>
      <c r="D1" s="3" t="inlineStr">
        <is>
          <t>Veículo (periódico ou evento)</t>
        </is>
      </c>
      <c r="E1" s="3" t="inlineStr">
        <is>
          <t>Ano</t>
        </is>
      </c>
      <c r="F1" s="3" t="inlineStr">
        <is>
          <t>Qualificação (Qualis / JCR / conferência)</t>
        </is>
      </c>
      <c r="G1" s="3" t="inlineStr">
        <is>
          <t>Eixo da ementa</t>
        </is>
      </c>
      <c r="H1" s="3" t="inlineStr">
        <is>
          <t>Problema abordado (entrada → saída)</t>
        </is>
      </c>
      <c r="I1" s="3" t="inlineStr">
        <is>
          <t>Paradigma / técnica</t>
        </is>
      </c>
      <c r="J1" s="3" t="inlineStr">
        <is>
          <t>Complexidade, fator de aproximação ou classe/redução</t>
        </is>
      </c>
      <c r="K1" s="3" t="inlineStr">
        <is>
          <t>Tipo de validação</t>
        </is>
      </c>
      <c r="L1" s="3" t="inlineStr">
        <is>
          <t>Principais resultados (com suas palavras)</t>
        </is>
      </c>
      <c r="M1" s="3" t="inlineStr">
        <is>
          <t>Limitações e lacunas</t>
        </is>
      </c>
      <c r="N1" s="3" t="inlineStr">
        <is>
          <t>Uso no nosso artigo (seção e finalidade)</t>
        </is>
      </c>
      <c r="O1" s="3" t="inlineStr">
        <is>
          <t>Nível de leitura</t>
        </is>
      </c>
    </row>
    <row r="2" ht="69.75" customHeight="1" s="32">
      <c r="A2" s="6" t="inlineStr">
        <is>
          <t>EX</t>
        </is>
      </c>
      <c r="B2" s="6" t="inlineStr">
        <is>
          <t>CHVÁTAL, V. A greedy heuristic for the set-covering problem. Mathematics of Operations Research, v. 4, n. 3, p. 233-235, 1979.</t>
        </is>
      </c>
      <c r="C2" s="6" t="inlineStr">
        <is>
          <t>Artigo de periódico</t>
        </is>
      </c>
      <c r="D2" s="6" t="inlineStr">
        <is>
          <t>Mathematics of Operations Research</t>
        </is>
      </c>
      <c r="E2" s="6" t="n">
        <v>1979</v>
      </c>
      <c r="F2" s="6" t="inlineStr">
        <is>
          <t>Periódico A1 (Pesquisa Operacional)</t>
        </is>
      </c>
      <c r="G2" s="6" t="inlineStr">
        <is>
          <t>E5 / E7</t>
        </is>
      </c>
      <c r="H2" s="6" t="inlineStr">
        <is>
          <t>Dado um universo de elementos e uma família de subconjuntos com custos, escolher a subfamília de custo mínimo que cobre todos os elementos.</t>
        </is>
      </c>
      <c r="I2" s="6" t="inlineStr">
        <is>
          <t>Guloso com análise de razão de aproximação</t>
        </is>
      </c>
      <c r="J2" s="6" t="inlineStr">
        <is>
          <t>Tempo polinomial; razão de aproximação H(n) ≈ ln n</t>
        </is>
      </c>
      <c r="K2" s="6" t="inlineStr">
        <is>
          <t>Prova formal</t>
        </is>
      </c>
      <c r="L2" s="6" t="inlineStr">
        <is>
          <t>A escolha gulosa por melhor custo-benefício garante solução no máximo H(n) vezes pior que a ótima, e esse limite é essencialmente justo.</t>
        </is>
      </c>
      <c r="M2" s="6" t="inlineStr">
        <is>
          <t>Não trata variantes com restrição de capacidade; não apresenta avaliação experimental em instâncias reais.</t>
        </is>
      </c>
      <c r="N2" s="6" t="inlineStr">
        <is>
          <t>Seção 2.3 (garantia teórica) e Seção 3 (baseline de comparação).</t>
        </is>
      </c>
      <c r="O2" s="6" t="inlineStr">
        <is>
          <t>Parcial</t>
        </is>
      </c>
    </row>
    <row r="3" ht="45.75" customHeight="1" s="32">
      <c r="A3" s="33" t="inlineStr">
        <is>
          <t>R01</t>
        </is>
      </c>
      <c r="B3" s="34" t="inlineStr">
        <is>
          <t>JOHNSON, D. S.; DEMERS, A.; ULLMAN, J. D.; GAREY, M. R.; GRAHAM, R. L. Worst-case performance bounds for simple one-dimensional packing algorithms. SIAM Journal on Computing, v. 3, n. 4, p. 299–325, 1974.</t>
        </is>
      </c>
      <c r="C3" s="34" t="inlineStr">
        <is>
          <t>Artigo de periódico</t>
        </is>
      </c>
      <c r="D3" s="34" t="inlineStr">
        <is>
          <t>SIAM Journal on Computing</t>
        </is>
      </c>
      <c r="E3" s="34" t="n">
        <v>1974</v>
      </c>
      <c r="F3" s="34" t="inlineStr">
        <is>
          <t>Periódico A1 (Computação)</t>
        </is>
      </c>
      <c r="G3" s="34" t="inlineStr">
        <is>
          <t>E5 / E7</t>
        </is>
      </c>
      <c r="H3" s="34" t="inlineStr">
        <is>
          <t>Dada uma lista de itens com tamanhos em (0,1], alocá-los no mínimo número de bins de capacidade 1.</t>
        </is>
      </c>
      <c r="I3" s="34" t="inlineStr">
        <is>
          <t>Análise de pior caso de heurísticas online (NF, FF, BF)</t>
        </is>
      </c>
      <c r="J3" s="34" t="inlineStr">
        <is>
          <t>Razões exatas de pior caso: NF 2, FF/BF 1.7 (assintótica); tempo O(n) NF, O(n²) FF/BF na implementação direta</t>
        </is>
      </c>
      <c r="K3" s="34" t="inlineStr">
        <is>
          <t>Prova formal</t>
        </is>
      </c>
      <c r="L3" s="34" t="inlineStr">
        <is>
          <t>Estabelece os limites de pior caso clássicos e mostra que FF/BF não passam de 1.7 nem na adversarial; base de toda a análise posterior.</t>
        </is>
      </c>
      <c r="M3" s="34" t="inlineStr">
        <is>
          <t>Não trata do desempenho médio nem de variantes ordenadas (FFD/BFD não aparecem com bound exato aqui).</t>
        </is>
      </c>
      <c r="N3" s="34" t="inlineStr">
        <is>
          <t>Seção 2.1 (fundamentação das garantias de pior caso) e Seção 4 (comparação empírica com os limites).</t>
        </is>
      </c>
      <c r="O3" s="34" t="inlineStr">
        <is>
          <t>Integral</t>
        </is>
      </c>
    </row>
    <row r="4" ht="45.75" customHeight="1" s="32">
      <c r="A4" s="33" t="inlineStr">
        <is>
          <t>R02</t>
        </is>
      </c>
      <c r="B4" s="34" t="inlineStr">
        <is>
          <t>DÓSA, G. The tight bound of First Fit Decreasing bin-packing algorithm is FFD(I) ≤ 11/9 OPT(I) + 6/9. In: ESCAPE 2007, Lecture Notes in Computer Science, v. 4614. Berlin: Springer, 2007. p. 1–11.</t>
        </is>
      </c>
      <c r="C4" s="34" t="inlineStr">
        <is>
          <t>Artigo de conferência</t>
        </is>
      </c>
      <c r="D4" s="34" t="inlineStr">
        <is>
          <t>ESCAPE (LNCS)</t>
        </is>
      </c>
      <c r="E4" s="34" t="n">
        <v>2007</v>
      </c>
      <c r="F4" s="34" t="inlineStr">
        <is>
          <t>Conferência (LNCS/Springer)</t>
        </is>
      </c>
      <c r="G4" s="34" t="inlineStr">
        <is>
          <t>E5 / E7</t>
        </is>
      </c>
      <c r="H4" s="34" t="inlineStr">
        <is>
          <t>Determinar o valor exato da constante aditiva na garantia do FFD.</t>
        </is>
      </c>
      <c r="I4" s="34" t="inlineStr">
        <is>
          <t>Análise de pior caso de heurística gulosa ordenada</t>
        </is>
      </c>
      <c r="J4" s="34" t="inlineStr">
        <is>
          <t>FFD(I) ≤ 11/9 OPT(I) + 6/9; prova de que 6/9 é justo (tight); O(n log n) para ordenar</t>
        </is>
      </c>
      <c r="K4" s="34" t="inlineStr">
        <is>
          <t>Prova formal</t>
        </is>
      </c>
      <c r="L4" s="34" t="inlineStr">
        <is>
          <t>Fecha problema aberto desde 1973: a constante aditiva do FFD é exatamente 6/9, encerrando 34 anos de melhorias incrementais.</t>
        </is>
      </c>
      <c r="M4" s="34" t="inlineStr">
        <is>
          <t>Prova longa e técnica; não avalia o comportamento médio — o gap entre 11/9 e o desempenho prático permanece em aberto.</t>
        </is>
      </c>
      <c r="N4" s="34" t="inlineStr">
        <is>
          <t>Seção 2.2 (a garantia 11/9 que o experimento confronta) — referência central do artigo.</t>
        </is>
      </c>
      <c r="O4" s="34" t="inlineStr">
        <is>
          <t>Integral</t>
        </is>
      </c>
    </row>
    <row r="5" ht="45.75" customHeight="1" s="32">
      <c r="A5" s="33" t="inlineStr">
        <is>
          <t>R03</t>
        </is>
      </c>
      <c r="B5" s="34" t="inlineStr">
        <is>
          <t>DÓSA, G.; LI, R.; HAN, X.; TUZA, Z. Tight absolute bound for First Fit Decreasing bin-packing: FFD(L) ≤ 11/9 OPT(L) + 6/9. Theoretical Computer Science, v. 510, p. 13–61, 2013.</t>
        </is>
      </c>
      <c r="C5" s="34" t="inlineStr">
        <is>
          <t>Artigo de periódico</t>
        </is>
      </c>
      <c r="D5" s="34" t="inlineStr">
        <is>
          <t>Theoretical Computer Science</t>
        </is>
      </c>
      <c r="E5" s="34" t="n">
        <v>2013</v>
      </c>
      <c r="F5" s="34" t="inlineStr">
        <is>
          <t>Periódico A1 (Ciência da Computação)</t>
        </is>
      </c>
      <c r="G5" s="34" t="inlineStr">
        <is>
          <t>E5 / E7</t>
        </is>
      </c>
      <c r="H5" s="34" t="inlineStr">
        <is>
          <t>Publicar em periódico a prova completa do bound absoluto do FFD (versão estendida da conferência de 2007).</t>
        </is>
      </c>
      <c r="I5" s="34" t="inlineStr">
        <is>
          <t>Análise de pior caso com funções de peso</t>
        </is>
      </c>
      <c r="J5" s="34" t="inlineStr">
        <is>
          <t>Bound absoluto FFD(L) ≤ 11/9 OPT(L) + 6/9, com classificação completa por classes de resíduo de OPT mod 9</t>
        </is>
      </c>
      <c r="K5" s="34" t="inlineStr">
        <is>
          <t>Prova formal</t>
        </is>
      </c>
      <c r="L5" s="34" t="inlineStr">
        <is>
          <t>Versão de periódico, com a tabela completa dos máximos de FFD para cada valor de OPT — referência definitiva do resultado.</t>
        </is>
      </c>
      <c r="M5" s="34" t="inlineStr">
        <is>
          <t>Puramente teórico; sem experimentos.</t>
        </is>
      </c>
      <c r="N5" s="34" t="inlineStr">
        <is>
          <t>Seção 2.2 (detalhes da prova e tabela de tightness); backup da R02.</t>
        </is>
      </c>
      <c r="O5" s="34" t="inlineStr">
        <is>
          <t>Parcial</t>
        </is>
      </c>
    </row>
    <row r="6" ht="45.75" customHeight="1" s="32">
      <c r="A6" s="33" t="inlineStr">
        <is>
          <t>R04</t>
        </is>
      </c>
      <c r="B6" s="34" t="inlineStr">
        <is>
          <t>KARMAKAR, N.; KARP, R. M. An efficient approximation scheme for the one-dimensional bin-packing problem. In: Proceedings of the 23rd Annual Symposium on Foundations of Computer Science (FOCS), 1982. p. 312–320.</t>
        </is>
      </c>
      <c r="C6" s="34" t="inlineStr">
        <is>
          <t>Artigo de conferência</t>
        </is>
      </c>
      <c r="D6" s="34" t="inlineStr">
        <is>
          <t>FOCS (IEEE)</t>
        </is>
      </c>
      <c r="E6" s="34" t="n">
        <v>1982</v>
      </c>
      <c r="F6" s="34" t="inlineStr">
        <is>
          <t>Conferência A* (teoria)</t>
        </is>
      </c>
      <c r="G6" s="34" t="inlineStr">
        <is>
          <t>E7 / E4</t>
        </is>
      </c>
      <c r="H6" s="34" t="inlineStr">
        <is>
          <t>Aproximar bin packing dentro de um erro aditivo sublinear em tempo polinomial.</t>
        </is>
      </c>
      <c r="I6" s="34" t="inlineStr">
        <is>
          <t>Aproximação via arredondamento e programação linear</t>
        </is>
      </c>
      <c r="J6" s="34" t="inlineStr">
        <is>
          <t>OPT + O(log² OPT) bins em tempo polinomial</t>
        </is>
      </c>
      <c r="K6" s="34" t="inlineStr">
        <is>
          <t>Prova formal</t>
        </is>
      </c>
      <c r="L6" s="34" t="inlineStr">
        <is>
          <t>Primeiro esquema com erro aditivo logarítmico; mostra que existe algoritmo polinomial quase ótimo, abrindo a linha dos AFPTAS.</t>
        </is>
      </c>
      <c r="M6" s="34" t="inlineStr">
        <is>
          <t>Complexidade prática proibitiva para instâncias grandes; constantes enormes tornam inviável na prática.</t>
        </is>
      </c>
      <c r="N6" s="34" t="inlineStr">
        <is>
          <t>Seção 2.4 (contexto: por que não usar esquemas quase-exatos) e justificativa da escolha por heurísticas simples.</t>
        </is>
      </c>
      <c r="O6" s="34" t="inlineStr">
        <is>
          <t>Parcial</t>
        </is>
      </c>
    </row>
    <row r="7" ht="45.75" customHeight="1" s="32">
      <c r="A7" s="33" t="inlineStr">
        <is>
          <t>R05</t>
        </is>
      </c>
      <c r="B7" s="34" t="inlineStr">
        <is>
          <t>MARTELLO, S.; TOTH, P. Lower bounds and reduction procedures for the bin packing problem. Discrete Applied Mathematics, v. 28, n. 1, p. 59–70, 1990.</t>
        </is>
      </c>
      <c r="C7" s="34" t="inlineStr">
        <is>
          <t>Artigo de periódico</t>
        </is>
      </c>
      <c r="D7" s="34" t="inlineStr">
        <is>
          <t>Discrete Applied Mathematics</t>
        </is>
      </c>
      <c r="E7" s="34" t="n">
        <v>1990</v>
      </c>
      <c r="F7" s="34" t="inlineStr">
        <is>
          <t>Periódico A1 (Pesquisa Operacional)</t>
        </is>
      </c>
      <c r="G7" s="34" t="inlineStr">
        <is>
          <t>E1 / E7</t>
        </is>
      </c>
      <c r="H7" s="34" t="inlineStr">
        <is>
          <t>Calcular limites inferiores apertados para OPT(I) usados em solvers exatos.</t>
        </is>
      </c>
      <c r="I7" s="34" t="inlineStr">
        <is>
          <t>Bound L2 baseado em partição de itens por corte alpha</t>
        </is>
      </c>
      <c r="J7" s="34" t="inlineStr">
        <is>
          <t>L2 computável em O(n log n); L2 ≥ L1 = ceil(soma dos tamanhos)</t>
        </is>
      </c>
      <c r="K7" s="34" t="inlineStr">
        <is>
          <t>Prova formal + experimentos com instâncias clássicas</t>
        </is>
      </c>
      <c r="L7" s="34" t="inlineStr">
        <is>
          <t>O bound L2 domina L1 e é a base do MTP (solver exato clássico); ainda é o bound padrão em solvers modernos.</t>
        </is>
      </c>
      <c r="M7" s="34" t="inlineStr">
        <is>
          <t>Pode ficar bem abaixo de OPT em instâncias de 3-partição; não é um algoritmo de empacotamento em si.</t>
        </is>
      </c>
      <c r="N7" s="34" t="inlineStr">
        <is>
          <t>Seção 3 (metodologia: L2 é o denominador da razão de aproximação empírica) e Seção 4 (interpretação dos resultados).</t>
        </is>
      </c>
      <c r="O7" s="34" t="inlineStr">
        <is>
          <t>Integral</t>
        </is>
      </c>
    </row>
    <row r="8" ht="45.75" customHeight="1" s="32">
      <c r="A8" s="33" t="inlineStr">
        <is>
          <t>R06</t>
        </is>
      </c>
      <c r="B8" s="34" t="inlineStr">
        <is>
          <t>FALKENAUER, E. A hybrid grouping genetic algorithm for bin packing. Journal of Heuristics, v. 2, n. 1, p. 5–30, 1996.</t>
        </is>
      </c>
      <c r="C8" s="34" t="inlineStr">
        <is>
          <t>Artigo de periódico</t>
        </is>
      </c>
      <c r="D8" s="34" t="inlineStr">
        <is>
          <t>Journal of Heuristics</t>
        </is>
      </c>
      <c r="E8" s="34" t="n">
        <v>1996</v>
      </c>
      <c r="F8" s="34" t="inlineStr">
        <is>
          <t>Periódico A2 (Pesquisa Operacional)</t>
        </is>
      </c>
      <c r="G8" s="34" t="inlineStr">
        <is>
          <t>E7 / E5</t>
        </is>
      </c>
      <c r="H8" s="34" t="inlineStr">
        <is>
          <t>Resolver bin packing com algoritmo genético especializado em agrupamento.</t>
        </is>
      </c>
      <c r="I8" s="34" t="inlineStr">
        <is>
          <t>Metaheurística (GA de agrupamento + redução de Martello-Toth)</t>
        </is>
      </c>
      <c r="J8" s="34" t="inlineStr">
        <is>
          <t>Polinomial por geração; sem garantia de aproximação</t>
        </is>
      </c>
      <c r="K8" s="34" t="inlineStr">
        <is>
          <t>Experimento com instâncias geradas (as que viraram benchmark da área)</t>
        </is>
      </c>
      <c r="L8" s="34" t="inlineStr">
        <is>
          <t>O GGA supera heurísticas clássicas nas instâncias difíceis; define as distribuições U{1/10..1/2} etc. usadas até hoje como benchmark.</t>
        </is>
      </c>
      <c r="M8" s="34" t="inlineStr">
        <is>
          <t>Sem garantia de pior caso; custo computacional maior que heurísticas simples.</t>
        </is>
      </c>
      <c r="N8" s="34" t="inlineStr">
        <is>
          <t>Seção 3 (justificativa do gerador de instâncias: distribuições de Falkenauer) e Seção 2.3 (metaheurísticas como alternativa).</t>
        </is>
      </c>
      <c r="O8" s="34" t="inlineStr">
        <is>
          <t>Parcial</t>
        </is>
      </c>
    </row>
    <row r="9" ht="45.75" customHeight="1" s="32">
      <c r="A9" s="33" t="inlineStr">
        <is>
          <t>R07</t>
        </is>
      </c>
      <c r="B9" s="34" t="inlineStr">
        <is>
          <t>KENYON, C. Best-fit bin-packing with random order. In: Proceedings of the 7th ACM-SIAM Symposium on Discrete Algorithms (SODA), 1996. p. 359–364.</t>
        </is>
      </c>
      <c r="C9" s="34" t="inlineStr">
        <is>
          <t>Artigo de conferência</t>
        </is>
      </c>
      <c r="D9" s="34" t="inlineStr">
        <is>
          <t>SODA (ACM-SIAM)</t>
        </is>
      </c>
      <c r="E9" s="34" t="n">
        <v>1996</v>
      </c>
      <c r="F9" s="34" t="inlineStr">
        <is>
          <t>Conferência A* (algoritmos)</t>
        </is>
      </c>
      <c r="G9" s="34" t="inlineStr">
        <is>
          <t>E7 / E1</t>
        </is>
      </c>
      <c r="H9" s="34" t="inlineStr">
        <is>
          <t>Analisar o Best-Fit quando a ordem de chegada dos itens é uma permutação aleatória uniforme.</t>
        </is>
      </c>
      <c r="I9" s="34" t="inlineStr">
        <is>
          <t>Análise probabilística (modelo random-order)</t>
        </is>
      </c>
      <c r="J9" s="34" t="inlineStr">
        <is>
          <t>Razão random-order do BF entre 1.08 e 3/2</t>
        </is>
      </c>
      <c r="K9" s="34" t="inlineStr">
        <is>
          <t>Prova formal</t>
        </is>
      </c>
      <c r="L9" s="34" t="inlineStr">
        <is>
          <t>Introduz o modelo random-order para bin packing e conjectura que a razão real do BF é ≈ 1.15 — conjectura em aberto até hoje.</t>
        </is>
      </c>
      <c r="M9" s="34" t="inlineStr">
        <is>
          <t>Bounds não fechados (1.08–1.5); conjectura não resolvida no caso geral.</t>
        </is>
      </c>
      <c r="N9" s="34" t="inlineStr">
        <is>
          <t>Seção 2.5 (modelo random-order) e Seção 4 (nosso experimento embaralhado dialoga com a conjectura).</t>
        </is>
      </c>
      <c r="O9" s="34" t="inlineStr">
        <is>
          <t>Parcial</t>
        </is>
      </c>
    </row>
    <row r="10" ht="45.75" customHeight="1" s="32">
      <c r="A10" s="33" t="inlineStr">
        <is>
          <t>R08</t>
        </is>
      </c>
      <c r="B10" s="34" t="inlineStr">
        <is>
          <t>BALOGH, J.; BÉKÉSI, J.; DÓSA, G.; EPSTEIN, L.; LEVIN, A. A new lower bound for classic online bin packing. In: Proceedings of the 32nd ACM-SIAM Symposium on Discrete Algorithms (SODA), 2021. p. 1758–1777.</t>
        </is>
      </c>
      <c r="C10" s="34" t="inlineStr">
        <is>
          <t>Artigo de conferência</t>
        </is>
      </c>
      <c r="D10" s="34" t="inlineStr">
        <is>
          <t>SODA (ACM-SIAM)</t>
        </is>
      </c>
      <c r="E10" s="34" t="n">
        <v>2021</v>
      </c>
      <c r="F10" s="34" t="inlineStr">
        <is>
          <t>Conferência A* (algoritmos)</t>
        </is>
      </c>
      <c r="G10" s="34" t="inlineStr">
        <is>
          <t>E3 / E7</t>
        </is>
      </c>
      <c r="H10" s="34" t="inlineStr">
        <is>
          <t>Melhorar o limite inferior para qualquer algoritmo online de bin packing.</t>
        </is>
      </c>
      <c r="I10" s="34" t="inlineStr">
        <is>
          <t>Limite inferior (construção adversarial)</t>
        </is>
      </c>
      <c r="J10" s="34" t="inlineStr">
        <is>
          <t>Limite inferior 1.5427 (contra o 1.5404 anterior)</t>
        </is>
      </c>
      <c r="K10" s="34" t="inlineStr">
        <is>
          <t>Prova formal</t>
        </is>
      </c>
      <c r="L10" s="34" t="inlineStr">
        <is>
          <t>Empurra o lower bound online para 1.5427, estreitando o gap com o algoritmo de 1.57829 — referência recente dos últimos 5 anos.</t>
        </is>
      </c>
      <c r="M10" s="34" t="inlineStr">
        <is>
          <t>Construção teórica; sem implicação prática direta para heurísticas simples.</t>
        </is>
      </c>
      <c r="N10" s="34" t="inlineStr">
        <is>
          <t>Seção 2.4 (estado da arte online recente) — referência &lt; 5 anos exigida pela matriz.</t>
        </is>
      </c>
      <c r="O10" s="34" t="inlineStr">
        <is>
          <t>Parcial</t>
        </is>
      </c>
    </row>
    <row r="11" ht="45.75" customHeight="1" s="32">
      <c r="A11" s="33" t="inlineStr">
        <is>
          <t>R09</t>
        </is>
      </c>
      <c r="B11" s="34" t="inlineStr">
        <is>
          <t>ALBERS, S.; KHAN, A.; LADEWIG, L. Best Fit bin packing with random order revisited. Algorithmica, v. 83, n. 9, p. 2833–2858, 2021.</t>
        </is>
      </c>
      <c r="C11" s="34" t="inlineStr">
        <is>
          <t>Artigo de periódico</t>
        </is>
      </c>
      <c r="D11" s="34" t="inlineStr">
        <is>
          <t>Algorithmica</t>
        </is>
      </c>
      <c r="E11" s="34" t="n">
        <v>2021</v>
      </c>
      <c r="F11" s="34" t="inlineStr">
        <is>
          <t>Periódico A1 (algoritmos)</t>
        </is>
      </c>
      <c r="G11" s="34" t="inlineStr">
        <is>
          <t>E7 / E1</t>
        </is>
      </c>
      <c r="H11" s="34" t="inlineStr">
        <is>
          <t>Revisitar a razão random-order do Best-Fit com técnicas modernas.</t>
        </is>
      </c>
      <c r="I11" s="34" t="inlineStr">
        <is>
          <t>Análise probabilística refinada</t>
        </is>
      </c>
      <c r="J11" s="34" t="inlineStr">
        <is>
          <t>Upper bound 5/4 quando todos os itens &gt; 1/3; lower bound 1.1</t>
        </is>
      </c>
      <c r="K11" s="34" t="inlineStr">
        <is>
          <t>Prova formal</t>
        </is>
      </c>
      <c r="L11" s="34" t="inlineStr">
        <is>
          <t>Primeiro avanço real em 25 anos na conjectura de Kenyon (caso itens &gt; 1/3); mostra que o modelo random-order é tratável.</t>
        </is>
      </c>
      <c r="M11" s="34" t="inlineStr">
        <is>
          <t>Só o caso especial itens &gt; 1/3; caso geral permanece entre 1.1 e 3/2.</t>
        </is>
      </c>
      <c r="N11" s="34" t="inlineStr">
        <is>
          <t>Seção 2.5 (progresso recente na conjectura) — referência &lt; 5 anos exigida pela matriz.</t>
        </is>
      </c>
      <c r="O11" s="34" t="inlineStr">
        <is>
          <t>Parcial</t>
        </is>
      </c>
    </row>
    <row r="12" ht="45.75" customHeight="1" s="32">
      <c r="A12" s="33" t="inlineStr">
        <is>
          <t>R10</t>
        </is>
      </c>
      <c r="B12" s="34" t="inlineStr">
        <is>
          <t>HEBBAR, A.; KHAN, A.; SREENIVAS, K. V. N. Bin packing under random-order: breaking the barrier of 3/2. arXiv:2401.04714, 2024.</t>
        </is>
      </c>
      <c r="C12" s="34" t="inlineStr">
        <is>
          <t>Artigo de periódico</t>
        </is>
      </c>
      <c r="D12" s="34" t="inlineStr">
        <is>
          <t>arXiv (submetido a conferência)</t>
        </is>
      </c>
      <c r="E12" s="34" t="n">
        <v>2024</v>
      </c>
      <c r="F12" s="34" t="inlineStr">
        <is>
          <t>Preprint (não classificado)</t>
        </is>
      </c>
      <c r="G12" s="34" t="inlineStr">
        <is>
          <t>E7 / E1</t>
        </is>
      </c>
      <c r="H12" s="34" t="inlineStr">
        <is>
          <t>Quebrar a barreira de 3/2 na razão random-order do Best-Fit no caso geral.</t>
        </is>
      </c>
      <c r="I12" s="34" t="inlineStr">
        <is>
          <t>Análise probabilística + busca computacional</t>
        </is>
      </c>
      <c r="J12" s="34" t="inlineStr">
        <is>
          <t>Razão random-order ≤ 3/2 − ε; lower bound 1.144</t>
        </is>
      </c>
      <c r="K12" s="34" t="inlineStr">
        <is>
          <t>Prova formal + verificação computacional</t>
        </is>
      </c>
      <c r="L12" s="34" t="inlineStr">
        <is>
          <t>Primeiro progresso no caso geral da conjectura de Kenyon em 28 anos; o lower bound 1.144 foi encontrado por programa que resolve cadeia de Markov.</t>
        </is>
      </c>
      <c r="M12" s="34" t="inlineStr">
        <is>
          <t>Preprint não revisado; ε é minúsculo (não explícito no abstract).</t>
        </is>
      </c>
      <c r="N12" s="34" t="inlineStr">
        <is>
          <t>Seção 2.5 (fronteira atual) e Seção 4 (nossas razões empíricas vs. 1.144 conjecturado) — referência &lt; 5 anos.</t>
        </is>
      </c>
      <c r="O12" s="34" t="inlineStr">
        <is>
          <t>Parcial</t>
        </is>
      </c>
    </row>
    <row r="13" ht="45.75" customHeight="1" s="32">
      <c r="A13" s="33" t="inlineStr">
        <is>
          <t>R11</t>
        </is>
      </c>
      <c r="B13" s="34" t="inlineStr">
        <is>
          <t>AYYADEVARA, V.; DABAS, H.; KHAN, A.; SREENIVAS, K. V. N. Near-optimal algorithms for stochastic online bin packing. ACM Transactions on Algorithms, v. 21, n. 4, p. 1–39, 2025.</t>
        </is>
      </c>
      <c r="C13" s="34" t="inlineStr">
        <is>
          <t>Artigo de periódico</t>
        </is>
      </c>
      <c r="D13" s="34" t="inlineStr">
        <is>
          <t>ACM Transactions on Algorithms</t>
        </is>
      </c>
      <c r="E13" s="34" t="n">
        <v>2025</v>
      </c>
      <c r="F13" s="34" t="inlineStr">
        <is>
          <t>Periódico A1 (algoritmos)</t>
        </is>
      </c>
      <c r="G13" s="34" t="inlineStr">
        <is>
          <t>E7 / E1</t>
        </is>
      </c>
      <c r="H13" s="34" t="inlineStr">
        <is>
          <t>Bin packing online com chegada aleatória (modelos i.i.d. e random-order).</t>
        </is>
      </c>
      <c r="I13" s="34" t="inlineStr">
        <is>
          <t>Meta-algoritmo + análise probabilística</t>
        </is>
      </c>
      <c r="J13" s="34" t="inlineStr">
        <is>
          <t>(1+ε)-competitivo no modelo i.i.d.; BF exatamente 1 quando itens &gt; 1/3</t>
        </is>
      </c>
      <c r="K13" s="34" t="inlineStr">
        <is>
          <t>Prova formal</t>
        </is>
      </c>
      <c r="L13" s="34" t="inlineStr">
        <is>
          <t>Resolve o caso i.i.d. e mostra que BF é ótimo no caso especial &gt; 1/3; versão de periódico do ICALP 2022.</t>
        </is>
      </c>
      <c r="M13" s="34" t="inlineStr">
        <is>
          <t>Modelos estocásticos dependem de suposições de distribuição.</t>
        </is>
      </c>
      <c r="N13" s="34" t="inlineStr">
        <is>
          <t>Seção 2.5 (estado da arte estocástico) — referência &lt; 5 anos.</t>
        </is>
      </c>
      <c r="O13" s="34" t="inlineStr">
        <is>
          <t>Parcial</t>
        </is>
      </c>
    </row>
    <row r="14" ht="45.75" customHeight="1" s="32">
      <c r="A14" s="33" t="inlineStr">
        <is>
          <t>R12</t>
        </is>
      </c>
      <c r="B14" s="34" t="inlineStr">
        <is>
          <t>WILLIAMSON, D. P.; SHMOYS, D. B. The Design of Approximation Algorithms. Cambridge: Cambridge University Press, 2011.</t>
        </is>
      </c>
      <c r="C14" s="34" t="inlineStr">
        <is>
          <t>Livro</t>
        </is>
      </c>
      <c r="D14" s="34" t="inlineStr">
        <is>
          <t>Cambridge University Press</t>
        </is>
      </c>
      <c r="E14" s="34" t="n">
        <v>2011</v>
      </c>
      <c r="F14" s="34" t="inlineStr">
        <is>
          <t>Livro-texto de referência</t>
        </is>
      </c>
      <c r="G14" s="34" t="inlineStr">
        <is>
          <t>E7</t>
        </is>
      </c>
      <c r="H14" s="34" t="inlineStr">
        <is>
          <t>Corpo de conhecimento de algoritmos de aproximação.</t>
        </is>
      </c>
      <c r="I14" s="34" t="inlineStr">
        <is>
          <t>Livro-texto (LP-rounding, primal-dual, análise de razão)</t>
        </is>
      </c>
      <c r="J14" s="34" t="inlineStr">
        <is>
          <t>Cap. sobre bin packing: AFPTAS de Karmarkar-Karp e técnicas de análise</t>
        </is>
      </c>
      <c r="K14" s="34" t="inlineStr">
        <is>
          <t>Provas formais (livro)</t>
        </is>
      </c>
      <c r="L14" s="34" t="inlineStr">
        <is>
          <t>Referência padrão para a técnica de análise de aproximação usada na fundamentação.</t>
        </is>
      </c>
      <c r="M14" s="34" t="inlineStr">
        <is>
          <t>Livro-texto — não é resultado original.</t>
        </is>
      </c>
      <c r="N14" s="34" t="inlineStr">
        <is>
          <t>Seção 2.1 (definições formais de razão de aproximação e notação).</t>
        </is>
      </c>
      <c r="O14" s="34" t="inlineStr">
        <is>
          <t>Parcial</t>
        </is>
      </c>
    </row>
    <row r="15" ht="45.75" customHeight="1" s="32">
      <c r="A15" s="33" t="inlineStr">
        <is>
          <t>R13</t>
        </is>
      </c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</row>
    <row r="16" ht="45.75" customHeight="1" s="32">
      <c r="A16" s="33" t="inlineStr">
        <is>
          <t>R14</t>
        </is>
      </c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</row>
    <row r="17" ht="45.75" customHeight="1" s="32">
      <c r="A17" s="33" t="inlineStr">
        <is>
          <t>R15</t>
        </is>
      </c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</row>
    <row r="18" ht="45.75" customHeight="1" s="32">
      <c r="A18" s="33" t="inlineStr">
        <is>
          <t>R16</t>
        </is>
      </c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</row>
    <row r="19" ht="45.75" customHeight="1" s="32">
      <c r="A19" s="33" t="inlineStr">
        <is>
          <t>R17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</row>
    <row r="20" ht="45.75" customHeight="1" s="32">
      <c r="A20" s="33" t="inlineStr">
        <is>
          <t>R18</t>
        </is>
      </c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</row>
    <row r="21" ht="45.75" customHeight="1" s="32">
      <c r="A21" s="33" t="inlineStr">
        <is>
          <t>R19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</row>
    <row r="22" ht="45.75" customHeight="1" s="32">
      <c r="A22" s="33" t="inlineStr">
        <is>
          <t>R20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</row>
    <row r="23" ht="15.75" customHeight="1" s="32">
      <c r="A23" s="0" t="inlineStr">
        <is>
          <t>R21</t>
        </is>
      </c>
      <c r="B23" s="0" t="inlineStr">
        <is>
          <t>COFFMAN, E. G.; SO, K.; HOFRI, M.; YAO, A. C. A stochastic model of bin-packing. Information and Control, v. 44, n. 2, p. 105-115, 1980.</t>
        </is>
      </c>
      <c r="C23" s="0" t="inlineStr">
        <is>
          <t>Artigo de periódico</t>
        </is>
      </c>
      <c r="D23" s="0" t="inlineStr">
        <is>
          <t>Information and Control</t>
        </is>
      </c>
      <c r="E23" s="0" t="inlineStr">
        <is>
          <t>1980</t>
        </is>
      </c>
      <c r="F23" s="0" t="inlineStr">
        <is>
          <t>Periódico clássico (predecessor da IEEE Trans. IT)</t>
        </is>
      </c>
      <c r="G23" s="0" t="inlineStr">
        <is>
          <t>E5 / E7</t>
        </is>
      </c>
      <c r="H23" s="0" t="inlineStr">
        <is>
          <t>Lista de n itens U(0,1] → número de bins do Next Fit</t>
        </is>
      </c>
      <c r="I23" t="inlineStr">
        <is>
          <t>Cadeia estocástica (análise de caso médio)</t>
        </is>
      </c>
      <c r="J23" t="inlineStr">
        <is>
          <t>NF: razão esperada exata 4/3 em U(0,1]</t>
        </is>
      </c>
      <c r="K23" t="inlineStr">
        <is>
          <t>Prova formal</t>
        </is>
      </c>
      <c r="L23" t="inlineStr">
        <is>
          <t>A razão esperada do NF converge para 4/3 = 1.3333 — primeiro resultado de caso médio em bin packing</t>
        </is>
      </c>
      <c r="M23" t="inlineStr">
        <is>
          <t>Só o NF sob U(0,1] e U{U,U}; não cobre FF/BF/FFD nem custo temporal</t>
        </is>
      </c>
      <c r="N23" t="inlineStr">
        <is>
          <t>Seção 4.4 (validação externa): nosso NF médio 1.328 confirma o 4/3 com erro de 0.4%</t>
        </is>
      </c>
      <c r="O23" t="inlineStr">
        <is>
          <t>Parcial</t>
        </is>
      </c>
    </row>
    <row r="24" ht="15.75" customHeight="1" s="32">
      <c r="A24" s="0" t="inlineStr">
        <is>
          <t>R22</t>
        </is>
      </c>
      <c r="B24" s="0" t="inlineStr">
        <is>
          <t>BENTLEY, J. L.; JOHNSON, D. S.; LEIGHTON, F. T.; McGEOCH, C. C.; McGEOCH, L. A. Some unexpected expected behavior results for bin packing. In: STOC, 1984, p. 279-288.</t>
        </is>
      </c>
      <c r="C24" s="0" t="inlineStr">
        <is>
          <t>Artigo de conferência</t>
        </is>
      </c>
      <c r="D24" s="0" t="inlineStr">
        <is>
          <t>ACM Symposium on Theory of Computing (STOC)</t>
        </is>
      </c>
      <c r="E24" s="0" t="inlineStr">
        <is>
          <t>1984</t>
        </is>
      </c>
      <c r="F24" s="0" t="inlineStr">
        <is>
          <t>Conferência A1 (teoria)</t>
        </is>
      </c>
      <c r="G24" s="0" t="inlineStr">
        <is>
          <t>E5 / E7</t>
        </is>
      </c>
      <c r="H24" s="0" t="inlineStr">
        <is>
          <t>Lista de n itens U(0,u] → bins de FF/FFD</t>
        </is>
      </c>
      <c r="I24" t="inlineStr">
        <is>
          <t>Análise probabilística + simulação</t>
        </is>
      </c>
      <c r="J24" t="inlineStr">
        <is>
          <t>FF: excesso esperado O(n^4/5); FFD: O(1) para u ≤ 1/2</t>
        </is>
      </c>
      <c r="K24" t="inlineStr">
        <is>
          <t>Prova formal + simulação</t>
        </is>
      </c>
      <c r="L24" t="inlineStr">
        <is>
          <t>FF é assintoticamente ótimo na expectativa em U(0,1]; FFD tem excesso esperado constante para itens ≤ 1/2 — 'few expected that it was actually this good'</t>
        </is>
      </c>
      <c r="M24" t="inlineStr">
        <is>
          <t>Resultados assintóticos; não medem tempo de implementações diretas</t>
        </is>
      </c>
      <c r="N24" t="inlineStr">
        <is>
          <t>Seção 4.4 (validação externa): confirma nossas razões FF 1.02 e FFD 1.001; critério de simetria explica a dificuldade da 3-partição</t>
        </is>
      </c>
      <c r="O24" t="inlineStr">
        <is>
          <t>Parcial</t>
        </is>
      </c>
    </row>
    <row r="25" ht="15.75" customHeight="1" s="32">
      <c r="A25" s="0" t="inlineStr">
        <is>
          <t>R23</t>
        </is>
      </c>
      <c r="B25" s="0" t="inlineStr">
        <is>
          <t>BENTLEY, J. L.; JOHNSON, D. S.; LEIGHTON, F. T.; McGEOCH, C. C. An experimental study of bin packing. In: Allerton Conference on Communication, Control, and Computing, 1983, p. 51-60.</t>
        </is>
      </c>
      <c r="C25" s="0" t="inlineStr">
        <is>
          <t>Artigo de conferência</t>
        </is>
      </c>
      <c r="D25" s="0" t="inlineStr">
        <is>
          <t>Allerton Conference</t>
        </is>
      </c>
      <c r="E25" s="0" t="inlineStr">
        <is>
          <t>1983</t>
        </is>
      </c>
      <c r="F25" s="0" t="inlineStr">
        <is>
          <t>Conferência clássica de sistemas</t>
        </is>
      </c>
      <c r="G25" s="0" t="inlineStr">
        <is>
          <t>E5</t>
        </is>
      </c>
      <c r="H25" s="0" t="inlineStr">
        <is>
          <t>Instâncias sintéticas → comportamento médio de NF/FF/BF/FFD/BFD</t>
        </is>
      </c>
      <c r="I25" t="inlineStr">
        <is>
          <t>Estudo experimental controlado</t>
        </is>
      </c>
      <c r="J25" t="inlineStr">
        <is>
          <t>Simulações até n=128.000</t>
        </is>
      </c>
      <c r="K25" t="inlineStr">
        <is>
          <t>Experimental</t>
        </is>
      </c>
      <c r="L25" t="inlineStr">
        <is>
          <t>As simulações anteciparam os teoremas de caso médio de 1984 — experimento controlado gerou descoberta teórica</t>
        </is>
      </c>
      <c r="M25" t="inlineStr">
        <is>
          <t>Sem análise de tempo de implementação em linguagens comparadas</t>
        </is>
      </c>
      <c r="N25" t="inlineStr">
        <is>
          <t>Seção 4.4 (justificativa metodológica): precedente do desenho experimental deste trabalho</t>
        </is>
      </c>
      <c r="O25" t="inlineStr">
        <is>
          <t>Seletiva</t>
        </is>
      </c>
    </row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dataValidations count="4">
    <dataValidation sqref="G3:G22" showDropDown="0" showInputMessage="0" showErrorMessage="0" allowBlank="1" type="list">
      <formula1>"E1,E2,E3,E4,E5,E6,E7"</formula1>
    </dataValidation>
    <dataValidation sqref="C3:C22" showDropDown="0" showInputMessage="0" showErrorMessage="0" allowBlank="1" type="list">
      <formula1>"Artigo de periódico,Artigo de conferência,Livro,Capítulo de livro,Tese ou dissertação,Relatório técnico,Norma ou documentação,Outro"</formula1>
    </dataValidation>
    <dataValidation sqref="K3:K22" showDropDown="0" showInputMessage="0" showErrorMessage="0" allowBlank="1" type="list">
      <formula1>"Prova formal,Experimento,Simulação,Benchmark público,Estudo de caso,Sem validação"</formula1>
    </dataValidation>
    <dataValidation sqref="O3:O22" showDropDown="0" showInputMessage="0" showErrorMessage="0" allowBlank="1" type="list">
      <formula1>"Integral,Parcial,Apenas resumo"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8" customWidth="1" style="32" min="2" max="2"/>
    <col width="15" customWidth="1" style="32" min="3" max="10"/>
    <col width="8.710000000000001" customWidth="1" style="32" min="11" max="26"/>
  </cols>
  <sheetData>
    <row r="1">
      <c r="A1" s="2" t="inlineStr">
        <is>
          <t>MATRIZ DE CRUZAMENTO — conceito × referência</t>
        </is>
      </c>
    </row>
    <row r="2" ht="30" customHeight="1" s="32">
      <c r="A2" s="35" t="inlineStr">
        <is>
          <t>Renomeie os cabeçalhos «Conceito 1…8» com os conceitos-chave do seu tema (ex.: limite inferior, recorrência, prova de corretude, instâncias reais, heurística, garantia de desempenho). Marque X onde a referência cobre o conceito.</t>
        </is>
      </c>
    </row>
    <row r="4" ht="30" customHeight="1" s="32">
      <c r="A4" s="3" t="inlineStr">
        <is>
          <t>ID</t>
        </is>
      </c>
      <c r="B4" s="3" t="inlineStr">
        <is>
          <t>Referência (automática)</t>
        </is>
      </c>
      <c r="C4" s="3" t="inlineStr">
        <is>
          <t>garantia de pior caso</t>
        </is>
      </c>
      <c r="D4" s="3" t="inlineStr">
        <is>
          <t>comportamento médio/probabilístico</t>
        </is>
      </c>
      <c r="E4" s="3" t="inlineStr">
        <is>
          <t>FFD/BFD (ordenadas)</t>
        </is>
      </c>
      <c r="F4" s="3" t="inlineStr">
        <is>
          <t>NF/FF/BF (online)</t>
        </is>
      </c>
      <c r="G4" s="3" t="inlineStr">
        <is>
          <t>lower bounds</t>
        </is>
      </c>
      <c r="H4" s="3" t="inlineStr">
        <is>
          <t>experimentos computacionais</t>
        </is>
      </c>
      <c r="I4" s="3" t="inlineStr">
        <is>
          <t>instâncias/benchmarks</t>
        </is>
      </c>
      <c r="J4" s="3" t="inlineStr">
        <is>
          <t>NP-dificuldade</t>
        </is>
      </c>
    </row>
    <row r="5">
      <c r="A5" s="7" t="inlineStr">
        <is>
          <t>R01</t>
        </is>
      </c>
      <c r="B5" s="13">
        <f>IF('Matriz Analítica'!B3="","",'Matriz Analítica'!B3)</f>
        <v/>
      </c>
      <c r="C5" s="14" t="inlineStr">
        <is>
          <t>X</t>
        </is>
      </c>
      <c r="D5" s="14" t="n"/>
      <c r="E5" s="14" t="n"/>
      <c r="F5" s="14" t="inlineStr">
        <is>
          <t>X</t>
        </is>
      </c>
      <c r="G5" s="14" t="n"/>
      <c r="H5" s="14" t="n"/>
      <c r="I5" s="14" t="n"/>
      <c r="J5" s="14" t="n"/>
    </row>
    <row r="6">
      <c r="A6" s="7" t="inlineStr">
        <is>
          <t>R02</t>
        </is>
      </c>
      <c r="B6" s="13">
        <f>IF('Matriz Analítica'!B4="","",'Matriz Analítica'!B4)</f>
        <v/>
      </c>
      <c r="C6" s="14" t="inlineStr">
        <is>
          <t>X</t>
        </is>
      </c>
      <c r="D6" s="14" t="n"/>
      <c r="E6" s="14" t="inlineStr">
        <is>
          <t>X</t>
        </is>
      </c>
      <c r="F6" s="14" t="n"/>
      <c r="G6" s="14" t="n"/>
      <c r="H6" s="14" t="n"/>
      <c r="I6" s="14" t="n"/>
      <c r="J6" s="14" t="n"/>
    </row>
    <row r="7">
      <c r="A7" s="7" t="inlineStr">
        <is>
          <t>R03</t>
        </is>
      </c>
      <c r="B7" s="13">
        <f>IF('Matriz Analítica'!B5="","",'Matriz Analítica'!B5)</f>
        <v/>
      </c>
      <c r="C7" s="14" t="inlineStr">
        <is>
          <t>X</t>
        </is>
      </c>
      <c r="D7" s="14" t="n"/>
      <c r="E7" s="14" t="inlineStr">
        <is>
          <t>X</t>
        </is>
      </c>
      <c r="F7" s="14" t="n"/>
      <c r="G7" s="14" t="n"/>
      <c r="H7" s="14" t="n"/>
      <c r="I7" s="14" t="n"/>
      <c r="J7" s="14" t="n"/>
    </row>
    <row r="8">
      <c r="A8" s="7" t="inlineStr">
        <is>
          <t>R04</t>
        </is>
      </c>
      <c r="B8" s="13">
        <f>IF('Matriz Analítica'!B6="","",'Matriz Analítica'!B6)</f>
        <v/>
      </c>
      <c r="C8" s="14" t="inlineStr">
        <is>
          <t>X</t>
        </is>
      </c>
      <c r="D8" s="14" t="n"/>
      <c r="E8" s="14" t="n"/>
      <c r="F8" s="14" t="n"/>
      <c r="G8" s="14" t="n"/>
      <c r="H8" s="14" t="n"/>
      <c r="I8" s="14" t="n"/>
      <c r="J8" s="14" t="n"/>
    </row>
    <row r="9">
      <c r="A9" s="7" t="inlineStr">
        <is>
          <t>R05</t>
        </is>
      </c>
      <c r="B9" s="13">
        <f>IF('Matriz Analítica'!B7="","",'Matriz Analítica'!B7)</f>
        <v/>
      </c>
      <c r="C9" s="14" t="n"/>
      <c r="D9" s="14" t="n"/>
      <c r="E9" s="14" t="n"/>
      <c r="F9" s="14" t="n"/>
      <c r="G9" s="14" t="inlineStr">
        <is>
          <t>X</t>
        </is>
      </c>
      <c r="H9" s="14" t="inlineStr">
        <is>
          <t>X</t>
        </is>
      </c>
      <c r="I9" s="14" t="n"/>
      <c r="J9" s="14" t="n"/>
    </row>
    <row r="10">
      <c r="A10" s="7" t="inlineStr">
        <is>
          <t>R06</t>
        </is>
      </c>
      <c r="B10" s="13">
        <f>IF('Matriz Analítica'!B8="","",'Matriz Analítica'!B8)</f>
        <v/>
      </c>
      <c r="C10" s="14" t="n"/>
      <c r="D10" s="14" t="n"/>
      <c r="E10" s="14" t="n"/>
      <c r="F10" s="14" t="n"/>
      <c r="G10" s="14" t="n"/>
      <c r="H10" s="14" t="inlineStr">
        <is>
          <t>X</t>
        </is>
      </c>
      <c r="I10" s="14" t="inlineStr">
        <is>
          <t>X</t>
        </is>
      </c>
      <c r="J10" s="14" t="n"/>
    </row>
    <row r="11">
      <c r="A11" s="7" t="inlineStr">
        <is>
          <t>R07</t>
        </is>
      </c>
      <c r="B11" s="13">
        <f>IF('Matriz Analítica'!B9="","",'Matriz Analítica'!B9)</f>
        <v/>
      </c>
      <c r="C11" s="14" t="n"/>
      <c r="D11" s="14" t="inlineStr">
        <is>
          <t>X</t>
        </is>
      </c>
      <c r="E11" s="14" t="n"/>
      <c r="F11" s="14" t="inlineStr">
        <is>
          <t>X</t>
        </is>
      </c>
      <c r="G11" s="14" t="n"/>
      <c r="H11" s="14" t="n"/>
      <c r="I11" s="14" t="n"/>
      <c r="J11" s="14" t="n"/>
    </row>
    <row r="12">
      <c r="A12" s="7" t="inlineStr">
        <is>
          <t>R08</t>
        </is>
      </c>
      <c r="B12" s="13">
        <f>IF('Matriz Analítica'!B10="","",'Matriz Analítica'!B10)</f>
        <v/>
      </c>
      <c r="C12" s="14" t="inlineStr">
        <is>
          <t>X</t>
        </is>
      </c>
      <c r="D12" s="14" t="n"/>
      <c r="E12" s="14" t="n"/>
      <c r="F12" s="14" t="n"/>
      <c r="G12" s="14" t="n"/>
      <c r="H12" s="14" t="n"/>
      <c r="I12" s="14" t="n"/>
      <c r="J12" s="14" t="n"/>
    </row>
    <row r="13">
      <c r="A13" s="7" t="inlineStr">
        <is>
          <t>R09</t>
        </is>
      </c>
      <c r="B13" s="13">
        <f>IF('Matriz Analítica'!B11="","",'Matriz Analítica'!B11)</f>
        <v/>
      </c>
      <c r="C13" s="14" t="n"/>
      <c r="D13" s="14" t="inlineStr">
        <is>
          <t>X</t>
        </is>
      </c>
      <c r="E13" s="14" t="n"/>
      <c r="F13" s="14" t="inlineStr">
        <is>
          <t>X</t>
        </is>
      </c>
      <c r="G13" s="14" t="n"/>
      <c r="H13" s="14" t="n"/>
      <c r="I13" s="14" t="n"/>
      <c r="J13" s="14" t="n"/>
    </row>
    <row r="14">
      <c r="A14" s="7" t="inlineStr">
        <is>
          <t>R10</t>
        </is>
      </c>
      <c r="B14" s="13">
        <f>IF('Matriz Analítica'!B12="","",'Matriz Analítica'!B12)</f>
        <v/>
      </c>
      <c r="C14" s="14" t="n"/>
      <c r="D14" s="14" t="inlineStr">
        <is>
          <t>X</t>
        </is>
      </c>
      <c r="E14" s="14" t="n"/>
      <c r="F14" s="14" t="inlineStr">
        <is>
          <t>X</t>
        </is>
      </c>
      <c r="G14" s="14" t="n"/>
      <c r="H14" s="14" t="inlineStr">
        <is>
          <t>X</t>
        </is>
      </c>
      <c r="I14" s="14" t="n"/>
      <c r="J14" s="14" t="n"/>
    </row>
    <row r="15">
      <c r="A15" s="7" t="inlineStr">
        <is>
          <t>R11</t>
        </is>
      </c>
      <c r="B15" s="13">
        <f>IF('Matriz Analítica'!B13="","",'Matriz Analítica'!B13)</f>
        <v/>
      </c>
      <c r="C15" s="14" t="n"/>
      <c r="D15" s="14" t="inlineStr">
        <is>
          <t>X</t>
        </is>
      </c>
      <c r="E15" s="14" t="n"/>
      <c r="F15" s="14" t="inlineStr">
        <is>
          <t>X</t>
        </is>
      </c>
      <c r="G15" s="14" t="n"/>
      <c r="H15" s="14" t="n"/>
      <c r="I15" s="14" t="n"/>
      <c r="J15" s="14" t="n"/>
    </row>
    <row r="16">
      <c r="A16" s="7" t="inlineStr">
        <is>
          <t>R12</t>
        </is>
      </c>
      <c r="B16" s="13">
        <f>IF('Matriz Analítica'!B14="","",'Matriz Analítica'!B14)</f>
        <v/>
      </c>
      <c r="C16" s="14" t="inlineStr">
        <is>
          <t>X</t>
        </is>
      </c>
      <c r="D16" s="14" t="n"/>
      <c r="E16" s="14" t="n"/>
      <c r="F16" s="14" t="n"/>
      <c r="G16" s="14" t="n"/>
      <c r="H16" s="14" t="n"/>
      <c r="I16" s="14" t="n"/>
      <c r="J16" s="14" t="n"/>
    </row>
    <row r="17">
      <c r="A17" s="7" t="inlineStr">
        <is>
          <t>R13</t>
        </is>
      </c>
      <c r="B17" s="13">
        <f>IF('Matriz Analítica'!B15="","",'Matriz Analítica'!B15)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7" t="inlineStr">
        <is>
          <t>R14</t>
        </is>
      </c>
      <c r="B18" s="13">
        <f>IF('Matriz Analítica'!B16="","",'Matriz Analítica'!B16)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>
      <c r="A19" s="7" t="inlineStr">
        <is>
          <t>R15</t>
        </is>
      </c>
      <c r="B19" s="13">
        <f>IF('Matriz Analítica'!B17="","",'Matriz Analítica'!B17)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7" t="inlineStr">
        <is>
          <t>R16</t>
        </is>
      </c>
      <c r="B20" s="13">
        <f>IF('Matriz Analítica'!B18="","",'Matriz Analítica'!B18)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 ht="15.75" customHeight="1" s="32">
      <c r="A21" s="7" t="inlineStr">
        <is>
          <t>R17</t>
        </is>
      </c>
      <c r="B21" s="13">
        <f>IF('Matriz Analítica'!B19="","",'Matriz Analítica'!B19)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 ht="15.75" customHeight="1" s="32">
      <c r="A22" s="7" t="inlineStr">
        <is>
          <t>R18</t>
        </is>
      </c>
      <c r="B22" s="13">
        <f>IF('Matriz Analítica'!B20="","",'Matriz Analítica'!B20)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 ht="15.75" customHeight="1" s="32">
      <c r="A23" s="7" t="inlineStr">
        <is>
          <t>R19</t>
        </is>
      </c>
      <c r="B23" s="13">
        <f>IF('Matriz Analítica'!B21="","",'Matriz Analítica'!B21)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 ht="15.75" customHeight="1" s="32">
      <c r="A24" s="7" t="inlineStr">
        <is>
          <t>R20</t>
        </is>
      </c>
      <c r="B24" s="13">
        <f>IF('Matriz Analítica'!B22="","",'Matriz Analítica'!B22)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 ht="15.75" customHeight="1" s="32">
      <c r="B25" s="22" t="inlineStr">
        <is>
          <t>Cobertura (nº de referências por conceito)</t>
        </is>
      </c>
      <c r="C25" s="21">
        <f>COUNTIF(C5:C24,"X")</f>
        <v/>
      </c>
      <c r="D25" s="21">
        <f>COUNTIF(D5:D24,"X")</f>
        <v/>
      </c>
      <c r="E25" s="21">
        <f>COUNTIF(E5:E24,"X")</f>
        <v/>
      </c>
      <c r="F25" s="21">
        <f>COUNTIF(F5:F24,"X")</f>
        <v/>
      </c>
      <c r="G25" s="21">
        <f>COUNTIF(G5:G24,"X")</f>
        <v/>
      </c>
      <c r="H25" s="21">
        <f>COUNTIF(H5:H24,"X")</f>
        <v/>
      </c>
      <c r="I25" s="21">
        <f>COUNTIF(I5:I24,"X")</f>
        <v/>
      </c>
      <c r="J25" s="21">
        <f>COUNTIF(J5:J24,"X")</f>
        <v/>
      </c>
    </row>
    <row r="26" ht="15.75" customHeight="1" s="32"/>
    <row r="27" ht="15.75" customHeight="1" s="32">
      <c r="A27" s="23" t="inlineStr">
        <is>
          <t>Análise da lacuna</t>
        </is>
      </c>
    </row>
    <row r="28" ht="30" customHeight="1" s="32">
      <c r="A28" s="35" t="inlineStr">
        <is>
          <t>A coluna «NP-dificuldade» ficou com cobertura vazia: nenhuma das 12 referências traz a redução formal que justifica tratar bin packing por aproximação — os trabalhos citam a NP-dificuldade de segunda mão (via Garey &amp; Johnson). O artigo vai fechá-la na Seção 2 apresentando a redução de 3-Partition a Decisão de Bin Packing (com prova curta), conectando o eixo principal E7 ao secundário E3. Além disso, «experimentos computacionais» aparece em apenas 3 de 12 referências (R05, R06, R10) e sempre em instâncias de benchmark estrangeiras; nenhuma mede o custo temporal das implementações diretas O(n²) — exatamente o gap empírico (garantia × médio × tempo) que nosso experimento preenche.</t>
        </is>
      </c>
    </row>
    <row r="29" ht="15.75" customHeight="1" s="32">
      <c r="A29" s="36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</row>
    <row r="30" ht="15.75" customHeight="1" s="32">
      <c r="A30" s="38" t="n"/>
    </row>
    <row r="31" ht="15.75" customHeight="1" s="32">
      <c r="A31" s="38" t="n"/>
    </row>
    <row r="32" ht="15.75" customHeight="1" s="32">
      <c r="A32" s="38" t="n"/>
    </row>
    <row r="33" ht="15.75" customHeight="1" s="32">
      <c r="A33" s="38" t="n"/>
    </row>
    <row r="34" ht="15.75" customHeight="1" s="32">
      <c r="A34" s="38" t="n"/>
    </row>
    <row r="35" ht="15.75" customHeight="1" s="32">
      <c r="A35" s="38" t="n"/>
    </row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28:J28"/>
    <mergeCell ref="A29:J35"/>
    <mergeCell ref="A2:J2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2" min="1" max="1"/>
    <col width="62" customWidth="1" style="32" min="2" max="2"/>
    <col width="12" customWidth="1" style="32" min="3" max="4"/>
    <col width="30" customWidth="1" style="32" min="5" max="5"/>
    <col width="8.710000000000001" customWidth="1" style="32" min="6" max="26"/>
  </cols>
  <sheetData>
    <row r="2">
      <c r="B2" s="2" t="inlineStr">
        <is>
          <t>VERIFICAÇÃO AUTOMÁTICA DO ACERVO</t>
        </is>
      </c>
    </row>
    <row r="3">
      <c r="B3" s="5" t="inlineStr">
        <is>
          <t>Confira esta aba antes de entregar. As colunas verdes são calculadas sozinhas.</t>
        </is>
      </c>
    </row>
    <row r="5">
      <c r="B5" s="11" t="inlineStr">
        <is>
          <t>Ano-limite para «publicação recente» (últimos 5 anos):</t>
        </is>
      </c>
      <c r="C5" s="16" t="n">
        <v>2021</v>
      </c>
      <c r="E5" s="5" t="inlineStr">
        <is>
          <t>Ajuste conforme o ano letivo.</t>
        </is>
      </c>
    </row>
    <row r="7">
      <c r="B7" s="3" t="inlineStr">
        <is>
          <t>Critério</t>
        </is>
      </c>
      <c r="C7" s="3" t="inlineStr">
        <is>
          <t>Exigido</t>
        </is>
      </c>
      <c r="D7" s="3" t="inlineStr">
        <is>
          <t>Atual</t>
        </is>
      </c>
      <c r="E7" s="3" t="inlineStr">
        <is>
          <t>Situação</t>
        </is>
      </c>
    </row>
    <row r="8" ht="21.75" customHeight="1" s="32">
      <c r="B8" s="34" t="inlineStr">
        <is>
          <t>Total de referências</t>
        </is>
      </c>
      <c r="C8" s="14" t="n">
        <v>10</v>
      </c>
      <c r="D8" s="21">
        <f>COUNTA('Matriz Analítica'!B3:B22)</f>
        <v/>
      </c>
      <c r="E8" s="21">
        <f>IF(D8&gt;=C8,"OK","Faltam "&amp;(C8-D8))</f>
        <v/>
      </c>
    </row>
    <row r="9" ht="21.75" customHeight="1" s="32">
      <c r="B9" s="34" t="inlineStr">
        <is>
          <t>Artigos revisados por pares (periódico ou conferência)</t>
        </is>
      </c>
      <c r="C9" s="14" t="n">
        <v>5</v>
      </c>
      <c r="D9" s="21">
        <f>COUNTIF('Matriz Analítica'!C3:C22,"Artigo de periódico")+COUNTIF('Matriz Analítica'!C3:C22,"Artigo de conferência")</f>
        <v/>
      </c>
      <c r="E9" s="21">
        <f>IF(D9&gt;=C9,"OK","Faltam "&amp;(C9-D9))</f>
        <v/>
      </c>
    </row>
    <row r="10" ht="21.75" customHeight="1" s="32">
      <c r="B10" s="34" t="inlineStr">
        <is>
          <t>Publicações dos últimos 5 anos</t>
        </is>
      </c>
      <c r="C10" s="14" t="n">
        <v>2</v>
      </c>
      <c r="D10" s="21">
        <f>COUNTIF('Matriz Analítica'!E3:E22,"&gt;="&amp;$C$5)</f>
        <v/>
      </c>
      <c r="E10" s="21">
        <f>IF(D10&gt;=C10,"OK","Faltam "&amp;(C10-D10))</f>
        <v/>
      </c>
    </row>
    <row r="11" ht="21.75" customHeight="1" s="32">
      <c r="B11" s="34" t="inlineStr">
        <is>
          <t>Livros e capítulos de livro (limite máximo)</t>
        </is>
      </c>
      <c r="C11" s="14" t="n">
        <v>3</v>
      </c>
      <c r="D11" s="21">
        <f>COUNTIF('Matriz Analítica'!C3:C22,"Livro")+COUNTIF('Matriz Analítica'!C3:C22,"Capítulo de livro")</f>
        <v/>
      </c>
      <c r="E11" s="21">
        <f>IF(D11&lt;=C11,"OK","Excedeu em "&amp;(D11-C11))</f>
        <v/>
      </c>
    </row>
    <row r="12" ht="21.75" customHeight="1" s="32">
      <c r="B12" s="34" t="inlineStr">
        <is>
          <t>Referências com complexidade/garantia preenchida</t>
        </is>
      </c>
      <c r="C12" s="14" t="n">
        <v>10</v>
      </c>
      <c r="D12" s="21">
        <f>COUNTA('Matriz Analítica'!J3:J22)</f>
        <v/>
      </c>
      <c r="E12" s="21">
        <f>IF(D12&gt;=C12,"OK","Faltam "&amp;(C12-D12))</f>
        <v/>
      </c>
    </row>
    <row r="13" ht="21.75" customHeight="1" s="32">
      <c r="B13" s="34" t="inlineStr">
        <is>
          <t>Referências com uso no artigo definido</t>
        </is>
      </c>
      <c r="C13" s="14" t="n">
        <v>10</v>
      </c>
      <c r="D13" s="21">
        <f>COUNTA('Matriz Analítica'!N3:N22)</f>
        <v/>
      </c>
      <c r="E13" s="21">
        <f>IF(D13&gt;=C13,"OK","Faltam "&amp;(C13-D13))</f>
        <v/>
      </c>
    </row>
    <row r="14" ht="21.75" customHeight="1" s="32">
      <c r="B14" s="34" t="inlineStr">
        <is>
          <t>Referências lidas na íntegra</t>
        </is>
      </c>
      <c r="C14" s="14" t="n">
        <v>3</v>
      </c>
      <c r="D14" s="21">
        <f>COUNTIF('Matriz Analítica'!O3:O22,"Integral")</f>
        <v/>
      </c>
      <c r="E14" s="21">
        <f>IF(D14&gt;=C14,"OK","Faltam "&amp;(C14-D14))</f>
        <v/>
      </c>
    </row>
    <row r="16">
      <c r="B16" s="23" t="inlineStr">
        <is>
          <t>Lembretes finais</t>
        </is>
      </c>
    </row>
    <row r="17">
      <c r="B17" s="11" t="inlineStr">
        <is>
          <t>• Exportar também em PDF e anexar ao artigo parcial.</t>
        </is>
      </c>
    </row>
    <row r="18">
      <c r="B18" s="11" t="inlineStr">
        <is>
          <t>• Cada referência da matriz precisa aparecer citada no texto do artigo.</t>
        </is>
      </c>
    </row>
    <row r="19">
      <c r="B19" s="11" t="inlineStr">
        <is>
          <t>• Preencher a análise da lacuna na aba «Cruzamento» — ela vale nota.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2026-09-23T00:10:09Z</dcterms:created>
  <dcterms:modified xmlns:dcterms="http://purl.org/dc/terms/" xmlns:xsi="http://www.w3.org/2001/XMLSchema-instance" xsi:type="dcterms:W3CDTF">2026-09-23T12:46:16Z</dcterms:modified>
</cp:coreProperties>
</file>